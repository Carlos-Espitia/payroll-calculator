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spitiahernandc24533\Desktop\"/>
    </mc:Choice>
  </mc:AlternateContent>
  <xr:revisionPtr revIDLastSave="0" documentId="13_ncr:1_{FD38E9A4-8156-44F2-A2AF-3D155218751F}" xr6:coauthVersionLast="47" xr6:coauthVersionMax="47" xr10:uidLastSave="{00000000-0000-0000-0000-000000000000}"/>
  <bookViews>
    <workbookView xWindow="2790" yWindow="690" windowWidth="21600" windowHeight="14595" activeTab="1" xr2:uid="{00000000-000D-0000-FFFF-FFFF00000000}"/>
  </bookViews>
  <sheets>
    <sheet name="W" sheetId="1" r:id="rId1"/>
    <sheet name="S" sheetId="2" r:id="rId2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2" l="1"/>
  <c r="H23" i="2"/>
  <c r="D23" i="2"/>
  <c r="F21" i="2"/>
  <c r="E21" i="2"/>
  <c r="G21" i="2" s="1"/>
  <c r="J21" i="2" s="1"/>
  <c r="F20" i="2"/>
  <c r="E20" i="2"/>
  <c r="G20" i="2" s="1"/>
  <c r="J20" i="2" s="1"/>
  <c r="F19" i="2"/>
  <c r="E19" i="2"/>
  <c r="G19" i="2" s="1"/>
  <c r="J19" i="2" s="1"/>
  <c r="F18" i="2"/>
  <c r="E18" i="2"/>
  <c r="G18" i="2" s="1"/>
  <c r="J18" i="2" s="1"/>
  <c r="F17" i="2"/>
  <c r="E17" i="2"/>
  <c r="G17" i="2" s="1"/>
  <c r="J17" i="2" s="1"/>
  <c r="F16" i="2"/>
  <c r="E16" i="2"/>
  <c r="G16" i="2" s="1"/>
  <c r="J16" i="2" s="1"/>
  <c r="F15" i="2"/>
  <c r="E15" i="2"/>
  <c r="I12" i="2"/>
  <c r="H12" i="2"/>
  <c r="D12" i="2"/>
  <c r="F10" i="2"/>
  <c r="E10" i="2"/>
  <c r="G10" i="2" s="1"/>
  <c r="J10" i="2" s="1"/>
  <c r="F9" i="2"/>
  <c r="E9" i="2"/>
  <c r="G9" i="2" s="1"/>
  <c r="J9" i="2" s="1"/>
  <c r="F8" i="2"/>
  <c r="E8" i="2"/>
  <c r="G8" i="2" s="1"/>
  <c r="J8" i="2" s="1"/>
  <c r="F7" i="2"/>
  <c r="E7" i="2"/>
  <c r="G7" i="2" s="1"/>
  <c r="J7" i="2" s="1"/>
  <c r="F6" i="2"/>
  <c r="E6" i="2"/>
  <c r="G6" i="2" s="1"/>
  <c r="J6" i="2" s="1"/>
  <c r="F5" i="2"/>
  <c r="E5" i="2"/>
  <c r="G5" i="2" s="1"/>
  <c r="J5" i="2" s="1"/>
  <c r="F4" i="2"/>
  <c r="E4" i="2"/>
  <c r="E6" i="1"/>
  <c r="F23" i="2" l="1"/>
  <c r="I27" i="2"/>
  <c r="H27" i="2"/>
  <c r="D27" i="2"/>
  <c r="E12" i="2"/>
  <c r="F12" i="2"/>
  <c r="E23" i="2"/>
  <c r="G4" i="2"/>
  <c r="G15" i="2"/>
  <c r="I23" i="1"/>
  <c r="H23" i="1"/>
  <c r="F21" i="1"/>
  <c r="E21" i="1"/>
  <c r="G21" i="1" s="1"/>
  <c r="F20" i="1"/>
  <c r="E20" i="1"/>
  <c r="G20" i="1" s="1"/>
  <c r="F19" i="1"/>
  <c r="E19" i="1"/>
  <c r="G19" i="1" s="1"/>
  <c r="F18" i="1"/>
  <c r="E18" i="1"/>
  <c r="G18" i="1" s="1"/>
  <c r="F17" i="1"/>
  <c r="E17" i="1"/>
  <c r="G17" i="1" s="1"/>
  <c r="F16" i="1"/>
  <c r="E16" i="1"/>
  <c r="G16" i="1" s="1"/>
  <c r="F15" i="1"/>
  <c r="H12" i="1"/>
  <c r="I12" i="1"/>
  <c r="G6" i="1"/>
  <c r="J6" i="1" s="1"/>
  <c r="E9" i="1"/>
  <c r="G9" i="1" s="1"/>
  <c r="J9" i="1" s="1"/>
  <c r="E8" i="1"/>
  <c r="G8" i="1" s="1"/>
  <c r="J8" i="1" s="1"/>
  <c r="E7" i="1"/>
  <c r="G7" i="1" s="1"/>
  <c r="J7" i="1" s="1"/>
  <c r="E5" i="1"/>
  <c r="G5" i="1" s="1"/>
  <c r="J5" i="1" s="1"/>
  <c r="E4" i="1"/>
  <c r="G4" i="1" s="1"/>
  <c r="J4" i="1" s="1"/>
  <c r="K4" i="1" s="1"/>
  <c r="E10" i="1"/>
  <c r="G10" i="1" s="1"/>
  <c r="J10" i="1" s="1"/>
  <c r="F10" i="1"/>
  <c r="F9" i="1"/>
  <c r="F8" i="1"/>
  <c r="F7" i="1"/>
  <c r="F6" i="1"/>
  <c r="F5" i="1"/>
  <c r="F4" i="1"/>
  <c r="F27" i="2" l="1"/>
  <c r="E27" i="2"/>
  <c r="J15" i="2"/>
  <c r="G23" i="2"/>
  <c r="J4" i="2"/>
  <c r="G12" i="2"/>
  <c r="I27" i="1"/>
  <c r="H27" i="1"/>
  <c r="J21" i="1"/>
  <c r="J20" i="1"/>
  <c r="K20" i="1" s="1"/>
  <c r="L20" i="1" s="1"/>
  <c r="J19" i="1"/>
  <c r="K19" i="1" s="1"/>
  <c r="L19" i="1" s="1"/>
  <c r="J18" i="1"/>
  <c r="K18" i="1" s="1"/>
  <c r="L18" i="1" s="1"/>
  <c r="J17" i="1"/>
  <c r="K17" i="1" s="1"/>
  <c r="L17" i="1" s="1"/>
  <c r="J16" i="1"/>
  <c r="D23" i="1"/>
  <c r="F23" i="1"/>
  <c r="E15" i="1"/>
  <c r="K5" i="1"/>
  <c r="L5" i="1" s="1"/>
  <c r="K10" i="1"/>
  <c r="L10" i="1" s="1"/>
  <c r="K6" i="1"/>
  <c r="L6" i="1" s="1"/>
  <c r="K7" i="1"/>
  <c r="L7" i="1" s="1"/>
  <c r="K8" i="1"/>
  <c r="L8" i="1" s="1"/>
  <c r="L4" i="1"/>
  <c r="K9" i="1"/>
  <c r="L9" i="1" s="1"/>
  <c r="G12" i="1"/>
  <c r="J12" i="1"/>
  <c r="D12" i="1"/>
  <c r="F12" i="1"/>
  <c r="E12" i="1"/>
  <c r="G27" i="2" l="1"/>
  <c r="J12" i="2"/>
  <c r="J23" i="2"/>
  <c r="G15" i="1"/>
  <c r="J15" i="1" s="1"/>
  <c r="K15" i="1" s="1"/>
  <c r="L15" i="1" s="1"/>
  <c r="F27" i="1"/>
  <c r="D27" i="1"/>
  <c r="K21" i="1"/>
  <c r="L21" i="1" s="1"/>
  <c r="K16" i="1"/>
  <c r="L16" i="1" s="1"/>
  <c r="E23" i="1"/>
  <c r="E27" i="1" s="1"/>
  <c r="K12" i="1"/>
  <c r="J27" i="2" l="1"/>
  <c r="G23" i="1"/>
  <c r="G27" i="1" s="1"/>
  <c r="L12" i="1"/>
  <c r="K23" i="1" l="1"/>
  <c r="K27" i="1" s="1"/>
  <c r="J23" i="1"/>
  <c r="J27" i="1" s="1"/>
  <c r="L23" i="1" l="1"/>
  <c r="L27" i="1" s="1"/>
</calcChain>
</file>

<file path=xl/sharedStrings.xml><?xml version="1.0" encoding="utf-8"?>
<sst xmlns="http://schemas.openxmlformats.org/spreadsheetml/2006/main" count="158" uniqueCount="36">
  <si>
    <t>Name</t>
  </si>
  <si>
    <t>Total gains</t>
  </si>
  <si>
    <t>Salary</t>
  </si>
  <si>
    <t>Lunch hours</t>
  </si>
  <si>
    <t>Work start</t>
  </si>
  <si>
    <t>Work end</t>
  </si>
  <si>
    <t>Total work hours</t>
  </si>
  <si>
    <t>Backcharge</t>
  </si>
  <si>
    <t>Bonus</t>
  </si>
  <si>
    <t>Monday</t>
  </si>
  <si>
    <t>Tuesday</t>
  </si>
  <si>
    <t xml:space="preserve">Wednesday </t>
  </si>
  <si>
    <t xml:space="preserve">Thursday </t>
  </si>
  <si>
    <t>Friday</t>
  </si>
  <si>
    <t>Saturday</t>
  </si>
  <si>
    <t>Carlos Espitia</t>
  </si>
  <si>
    <t>Sunday</t>
  </si>
  <si>
    <t>Totals</t>
  </si>
  <si>
    <t>Days</t>
  </si>
  <si>
    <t>Total bonus</t>
  </si>
  <si>
    <t>Total backcharge</t>
  </si>
  <si>
    <t>Hours with lunch</t>
  </si>
  <si>
    <t>Total hours with lunch</t>
  </si>
  <si>
    <t>Work hours</t>
  </si>
  <si>
    <t>Week 2</t>
  </si>
  <si>
    <t>Total lunch time</t>
  </si>
  <si>
    <t>1st &amp; 2nd week</t>
  </si>
  <si>
    <t>Gains</t>
  </si>
  <si>
    <t>Gains w/ BB &amp; -4%</t>
  </si>
  <si>
    <t>Gains w/ BB</t>
  </si>
  <si>
    <t>Total gains w/ BB</t>
  </si>
  <si>
    <t>total gains w/ BB</t>
  </si>
  <si>
    <t>total -4%</t>
  </si>
  <si>
    <t>Total Gains w/ BB &amp; -4%</t>
  </si>
  <si>
    <t>Colors for macro</t>
  </si>
  <si>
    <t>1:00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</si>
</sst>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[$-F400]h:mm:ss\ AM/PM"/>
    <numFmt numFmtId="165" formatCode="[h]:mm:ss;@"/>
    <numFmt numFmtId="166" formatCode="&quot;$&quot;#,##0.00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rgb="FFC0000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5"/>
      <color rgb="FF3F3F76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CE4D6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505050"/>
      </left>
      <right/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3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2" fillId="5" borderId="4" applyNumberFormat="0" applyFont="0" applyAlignment="0" applyProtection="0"/>
    <xf numFmtId="0" fontId="9" fillId="7" borderId="0" applyNumberFormat="0" applyBorder="0" applyAlignment="0" applyProtection="0"/>
    <xf numFmtId="0" fontId="10" fillId="0" borderId="5" applyNumberFormat="0" applyFill="0" applyAlignment="0" applyProtection="0"/>
    <xf numFmtId="0" fontId="14" fillId="8" borderId="0" applyNumberFormat="0" applyBorder="0" applyAlignment="0" applyProtection="0"/>
    <xf numFmtId="0" fontId="15" fillId="9" borderId="0" applyNumberFormat="0" applyBorder="0" applyAlignment="0" applyProtection="0"/>
    <xf numFmtId="0" fontId="1" fillId="11" borderId="0" applyNumberFormat="0" applyBorder="0" applyAlignment="0" applyProtection="0"/>
    <xf numFmtId="0" fontId="2" fillId="3" borderId="0" applyNumberFormat="0" applyBorder="0" applyAlignment="0" applyProtection="0"/>
    <xf numFmtId="0" fontId="2" fillId="12" borderId="0" applyNumberFormat="0" applyBorder="0" applyAlignment="0" applyProtection="0"/>
    <xf numFmtId="0" fontId="21" fillId="17" borderId="9" applyNumberFormat="0" applyAlignment="0" applyProtection="0"/>
  </cellStyleXfs>
  <cellXfs count="43">
    <xf numFmtId="0" fontId="0" fillId="0" borderId="0" xfId="0"/>
    <xf numFmtId="6" fontId="0" fillId="0" borderId="0" xfId="0" applyNumberFormat="1"/>
    <xf numFmtId="0" fontId="3" fillId="0" borderId="1" xfId="1" applyFill="1"/>
    <xf numFmtId="0" fontId="5" fillId="2" borderId="3" xfId="3" applyAlignment="1">
      <alignment horizontal="center"/>
    </xf>
    <xf numFmtId="0" fontId="4" fillId="0" borderId="2" xfId="2" applyFill="1"/>
    <xf numFmtId="0" fontId="8" fillId="6" borderId="3" xfId="3" applyFont="1" applyFill="1" applyAlignment="1">
      <alignment horizontal="center"/>
    </xf>
    <xf numFmtId="0" fontId="8" fillId="4" borderId="3" xfId="3" applyFont="1" applyFill="1" applyAlignment="1">
      <alignment horizontal="center"/>
    </xf>
    <xf numFmtId="0" fontId="0" fillId="0" borderId="0" xfId="0" applyAlignment="1">
      <alignment horizontal="center"/>
    </xf>
    <xf numFmtId="0" fontId="5" fillId="2" borderId="3" xfId="3" applyFont="1" applyAlignment="1">
      <alignment horizontal="center"/>
    </xf>
    <xf numFmtId="6" fontId="5" fillId="2" borderId="3" xfId="3" applyNumberFormat="1" applyAlignment="1">
      <alignment horizontal="center"/>
    </xf>
    <xf numFmtId="6" fontId="13" fillId="0" borderId="2" xfId="2" applyNumberFormat="1" applyFont="1" applyFill="1" applyAlignment="1">
      <alignment horizontal="center" wrapText="1"/>
    </xf>
    <xf numFmtId="0" fontId="13" fillId="0" borderId="2" xfId="2" applyFont="1" applyFill="1" applyAlignment="1">
      <alignment horizontal="center" wrapText="1"/>
    </xf>
    <xf numFmtId="9" fontId="5" fillId="2" borderId="3" xfId="3" applyNumberFormat="1" applyAlignment="1">
      <alignment horizontal="center"/>
    </xf>
    <xf numFmtId="165" fontId="16" fillId="10" borderId="1" xfId="1" applyNumberFormat="1" applyFont="1" applyFill="1" applyAlignment="1">
      <alignment horizontal="center"/>
    </xf>
    <xf numFmtId="165" fontId="17" fillId="10" borderId="1" xfId="1" applyNumberFormat="1" applyFont="1" applyFill="1" applyAlignment="1">
      <alignment horizontal="center"/>
    </xf>
    <xf numFmtId="166" fontId="17" fillId="10" borderId="1" xfId="7" applyNumberFormat="1" applyFont="1" applyFill="1" applyBorder="1" applyAlignment="1">
      <alignment horizontal="center"/>
    </xf>
    <xf numFmtId="166" fontId="17" fillId="10" borderId="1" xfId="1" applyNumberFormat="1" applyFont="1" applyFill="1" applyAlignment="1">
      <alignment horizontal="center"/>
    </xf>
    <xf numFmtId="166" fontId="18" fillId="10" borderId="1" xfId="1" applyNumberFormat="1" applyFont="1" applyFill="1" applyAlignment="1">
      <alignment horizontal="center"/>
    </xf>
    <xf numFmtId="166" fontId="16" fillId="10" borderId="1" xfId="1" applyNumberFormat="1" applyFont="1" applyFill="1" applyAlignment="1">
      <alignment horizontal="center"/>
    </xf>
    <xf numFmtId="166" fontId="18" fillId="10" borderId="1" xfId="5" applyNumberFormat="1" applyFont="1" applyFill="1" applyBorder="1" applyAlignment="1">
      <alignment horizontal="center"/>
    </xf>
    <xf numFmtId="0" fontId="20" fillId="2" borderId="3" xfId="3" applyFont="1" applyAlignment="1">
      <alignment horizontal="center"/>
    </xf>
    <xf numFmtId="166" fontId="19" fillId="10" borderId="1" xfId="1" applyNumberFormat="1" applyFont="1" applyFill="1" applyAlignment="1">
      <alignment horizontal="center"/>
    </xf>
    <xf numFmtId="0" fontId="2" fillId="3" borderId="0" xfId="10"/>
    <xf numFmtId="0" fontId="9" fillId="7" borderId="0" xfId="5"/>
    <xf numFmtId="0" fontId="1" fillId="11" borderId="0" xfId="9"/>
    <xf numFmtId="0" fontId="2" fillId="12" borderId="0" xfId="11"/>
    <xf numFmtId="164" fontId="13" fillId="13" borderId="5" xfId="6" applyNumberFormat="1" applyFont="1" applyFill="1" applyAlignment="1">
      <alignment horizontal="center" wrapText="1"/>
    </xf>
    <xf numFmtId="166" fontId="6" fillId="14" borderId="2" xfId="2" applyNumberFormat="1" applyFont="1" applyFill="1" applyAlignment="1">
      <alignment horizontal="center"/>
    </xf>
    <xf numFmtId="6" fontId="13" fillId="15" borderId="5" xfId="6" applyNumberFormat="1" applyFont="1" applyFill="1" applyAlignment="1">
      <alignment horizontal="center"/>
    </xf>
    <xf numFmtId="6" fontId="13" fillId="16" borderId="5" xfId="6" applyNumberFormat="1" applyFont="1" applyFill="1" applyAlignment="1">
      <alignment horizontal="center"/>
    </xf>
    <xf numFmtId="166" fontId="4" fillId="14" borderId="2" xfId="2" applyNumberFormat="1" applyFill="1" applyAlignment="1">
      <alignment horizontal="center"/>
    </xf>
    <xf numFmtId="8" fontId="4" fillId="15" borderId="2" xfId="2" applyNumberFormat="1" applyFill="1" applyAlignment="1">
      <alignment horizontal="center"/>
    </xf>
    <xf numFmtId="8" fontId="4" fillId="14" borderId="2" xfId="2" applyNumberFormat="1" applyFill="1" applyAlignment="1">
      <alignment horizontal="center"/>
    </xf>
    <xf numFmtId="49" fontId="13" fillId="13" borderId="5" xfId="6" applyNumberFormat="1" applyFont="1" applyFill="1" applyAlignment="1">
      <alignment horizontal="center" wrapText="1" readingOrder="2"/>
    </xf>
    <xf numFmtId="166" fontId="22" fillId="17" borderId="9" xfId="12" applyNumberFormat="1" applyFont="1" applyAlignment="1">
      <alignment horizontal="center"/>
    </xf>
    <xf numFmtId="0" fontId="0" fillId="15" borderId="0" xfId="0" applyFill="1"/>
    <xf numFmtId="0" fontId="0" fillId="14" borderId="0" xfId="0" applyFill="1"/>
    <xf numFmtId="0" fontId="12" fillId="2" borderId="7" xfId="3" applyFont="1" applyBorder="1" applyAlignment="1">
      <alignment horizontal="center"/>
    </xf>
    <xf numFmtId="0" fontId="12" fillId="2" borderId="8" xfId="3" applyFont="1" applyBorder="1" applyAlignment="1">
      <alignment horizontal="center"/>
    </xf>
    <xf numFmtId="0" fontId="7" fillId="6" borderId="6" xfId="4" applyFont="1" applyFill="1" applyBorder="1" applyAlignment="1">
      <alignment horizontal="center"/>
    </xf>
    <xf numFmtId="0" fontId="7" fillId="6" borderId="0" xfId="4" applyFont="1" applyFill="1" applyBorder="1" applyAlignment="1">
      <alignment horizontal="center"/>
    </xf>
    <xf numFmtId="0" fontId="15" fillId="9" borderId="0" xfId="8" applyAlignment="1">
      <alignment horizontal="center"/>
    </xf>
    <xf numFmtId="0" fontId="12" fillId="2" borderId="3" xfId="3" applyFont="1" applyAlignment="1">
      <alignment horizontal="center"/>
    </xf>
  </cellXfs>
  <cellStyles count="13">
    <cellStyle name="20% - Accent2" xfId="10" builtinId="34"/>
    <cellStyle name="40% - Accent6" xfId="9" builtinId="51"/>
    <cellStyle name="60% - Accent6" xfId="11" builtinId="52"/>
    <cellStyle name="Bad" xfId="5" builtinId="27"/>
    <cellStyle name="Check Cell" xfId="3" builtinId="23"/>
    <cellStyle name="Good" xfId="7" builtinId="26"/>
    <cellStyle name="Heading 1" xfId="1" builtinId="16"/>
    <cellStyle name="Heading 2" xfId="2" builtinId="17"/>
    <cellStyle name="Input" xfId="12" builtinId="20"/>
    <cellStyle name="Linked Cell" xfId="6" builtinId="24"/>
    <cellStyle name="Neutral" xfId="8" builtinId="28"/>
    <cellStyle name="Normal" xfId="0" builtinId="0"/>
    <cellStyle name="Note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1141204</xdr:colOff>
      <xdr:row>9</xdr:row>
      <xdr:rowOff>8986</xdr:rowOff>
    </xdr:from>
    <xdr:to>
      <xdr:col>13</xdr:col>
      <xdr:colOff>8985</xdr:colOff>
      <xdr:row>10</xdr:row>
      <xdr:rowOff>0</xdr:rowOff>
    </xdr:to>
    <xdr:sp macro="[0]!Sunday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FD46319-C4FE-461D-AABF-62DDF9A09BA5}"/>
            </a:ext>
          </a:extLst>
        </xdr:cNvPr>
        <xdr:cNvSpPr/>
      </xdr:nvSpPr>
      <xdr:spPr>
        <a:xfrm>
          <a:off x="13388916" y="2210519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17970</xdr:colOff>
      <xdr:row>3</xdr:row>
      <xdr:rowOff>233632</xdr:rowOff>
    </xdr:to>
    <xdr:sp macro="[0]!Monday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A9F13CA-1AC5-4DF7-80F2-C6BE0E246727}"/>
            </a:ext>
          </a:extLst>
        </xdr:cNvPr>
        <xdr:cNvSpPr/>
      </xdr:nvSpPr>
      <xdr:spPr>
        <a:xfrm>
          <a:off x="13397901" y="763797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17970</xdr:colOff>
      <xdr:row>4</xdr:row>
      <xdr:rowOff>233632</xdr:rowOff>
    </xdr:to>
    <xdr:sp macro="[0]!Tuesday1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FCADB21F-209D-48E4-AE89-F8D91342C789}"/>
            </a:ext>
          </a:extLst>
        </xdr:cNvPr>
        <xdr:cNvSpPr/>
      </xdr:nvSpPr>
      <xdr:spPr>
        <a:xfrm>
          <a:off x="13397901" y="1006415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5</xdr:row>
      <xdr:rowOff>0</xdr:rowOff>
    </xdr:from>
    <xdr:to>
      <xdr:col>13</xdr:col>
      <xdr:colOff>17970</xdr:colOff>
      <xdr:row>5</xdr:row>
      <xdr:rowOff>233632</xdr:rowOff>
    </xdr:to>
    <xdr:sp macro="[0]!Wednesday1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53341B75-11D2-41C0-8DA0-6BBAA62147D2}"/>
            </a:ext>
          </a:extLst>
        </xdr:cNvPr>
        <xdr:cNvSpPr/>
      </xdr:nvSpPr>
      <xdr:spPr>
        <a:xfrm>
          <a:off x="13397901" y="1249033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13</xdr:col>
      <xdr:colOff>17970</xdr:colOff>
      <xdr:row>6</xdr:row>
      <xdr:rowOff>233632</xdr:rowOff>
    </xdr:to>
    <xdr:sp macro="[0]!Thursday1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D1771A0D-9A01-4A70-B355-B3216F33372B}"/>
            </a:ext>
          </a:extLst>
        </xdr:cNvPr>
        <xdr:cNvSpPr/>
      </xdr:nvSpPr>
      <xdr:spPr>
        <a:xfrm>
          <a:off x="13397901" y="1491651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17970</xdr:colOff>
      <xdr:row>7</xdr:row>
      <xdr:rowOff>233632</xdr:rowOff>
    </xdr:to>
    <xdr:sp macro="[0]!Friday1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72405A38-CFCA-490B-A38B-90958A9D3D5E}"/>
            </a:ext>
          </a:extLst>
        </xdr:cNvPr>
        <xdr:cNvSpPr/>
      </xdr:nvSpPr>
      <xdr:spPr>
        <a:xfrm>
          <a:off x="13397901" y="1734269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17970</xdr:colOff>
      <xdr:row>8</xdr:row>
      <xdr:rowOff>233632</xdr:rowOff>
    </xdr:to>
    <xdr:sp macro="[0]!Saturday1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54934898-2856-41CF-8988-5FC0335B3977}"/>
            </a:ext>
          </a:extLst>
        </xdr:cNvPr>
        <xdr:cNvSpPr/>
      </xdr:nvSpPr>
      <xdr:spPr>
        <a:xfrm>
          <a:off x="13397901" y="1976887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17970</xdr:colOff>
      <xdr:row>14</xdr:row>
      <xdr:rowOff>233632</xdr:rowOff>
    </xdr:to>
    <xdr:sp macro="[0]!Monday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2EDBF61-F023-46B2-9576-AFD5633B16A6}"/>
            </a:ext>
          </a:extLst>
        </xdr:cNvPr>
        <xdr:cNvSpPr/>
      </xdr:nvSpPr>
      <xdr:spPr>
        <a:xfrm>
          <a:off x="13397901" y="3432594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13</xdr:col>
      <xdr:colOff>17970</xdr:colOff>
      <xdr:row>15</xdr:row>
      <xdr:rowOff>233632</xdr:rowOff>
    </xdr:to>
    <xdr:sp macro="[0]!Tuesday2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1400B37-066A-43F0-82EB-C4D6D4E89BD7}"/>
            </a:ext>
          </a:extLst>
        </xdr:cNvPr>
        <xdr:cNvSpPr/>
      </xdr:nvSpPr>
      <xdr:spPr>
        <a:xfrm>
          <a:off x="13397901" y="3675212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17970</xdr:colOff>
      <xdr:row>16</xdr:row>
      <xdr:rowOff>233632</xdr:rowOff>
    </xdr:to>
    <xdr:sp macro="[0]!Wednesday2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39DC6285-97F4-4AE5-8284-3858897FE7CD}"/>
            </a:ext>
          </a:extLst>
        </xdr:cNvPr>
        <xdr:cNvSpPr/>
      </xdr:nvSpPr>
      <xdr:spPr>
        <a:xfrm>
          <a:off x="13397901" y="3917830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13</xdr:col>
      <xdr:colOff>17970</xdr:colOff>
      <xdr:row>17</xdr:row>
      <xdr:rowOff>233632</xdr:rowOff>
    </xdr:to>
    <xdr:sp macro="[0]!Thursday2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7B85DA9-8E95-464C-B2B1-AFCACD2980A8}"/>
            </a:ext>
          </a:extLst>
        </xdr:cNvPr>
        <xdr:cNvSpPr/>
      </xdr:nvSpPr>
      <xdr:spPr>
        <a:xfrm>
          <a:off x="13397901" y="4160448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17970</xdr:colOff>
      <xdr:row>18</xdr:row>
      <xdr:rowOff>233632</xdr:rowOff>
    </xdr:to>
    <xdr:sp macro="[0]!Friday2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77BF9206-C911-4F54-976B-172AFEBE6E05}"/>
            </a:ext>
          </a:extLst>
        </xdr:cNvPr>
        <xdr:cNvSpPr/>
      </xdr:nvSpPr>
      <xdr:spPr>
        <a:xfrm>
          <a:off x="13397901" y="4403066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19</xdr:row>
      <xdr:rowOff>0</xdr:rowOff>
    </xdr:from>
    <xdr:to>
      <xdr:col>13</xdr:col>
      <xdr:colOff>17970</xdr:colOff>
      <xdr:row>20</xdr:row>
      <xdr:rowOff>35943</xdr:rowOff>
    </xdr:to>
    <xdr:sp macro="[0]!Saturday2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116C161F-27EE-4CBD-97A1-26310C851DEB}"/>
            </a:ext>
          </a:extLst>
        </xdr:cNvPr>
        <xdr:cNvSpPr/>
      </xdr:nvSpPr>
      <xdr:spPr>
        <a:xfrm>
          <a:off x="13397901" y="4645684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20</xdr:row>
      <xdr:rowOff>0</xdr:rowOff>
    </xdr:from>
    <xdr:to>
      <xdr:col>13</xdr:col>
      <xdr:colOff>17970</xdr:colOff>
      <xdr:row>20</xdr:row>
      <xdr:rowOff>233632</xdr:rowOff>
    </xdr:to>
    <xdr:sp macro="[0]!Sunday2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D741A92C-AA4D-4270-ACE3-30DA610139B8}"/>
            </a:ext>
          </a:extLst>
        </xdr:cNvPr>
        <xdr:cNvSpPr/>
      </xdr:nvSpPr>
      <xdr:spPr>
        <a:xfrm>
          <a:off x="13397901" y="4843373"/>
          <a:ext cx="1231060" cy="2336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8659</xdr:rowOff>
    </xdr:from>
    <xdr:to>
      <xdr:col>11</xdr:col>
      <xdr:colOff>0</xdr:colOff>
      <xdr:row>3</xdr:row>
      <xdr:rowOff>225136</xdr:rowOff>
    </xdr:to>
    <xdr:sp macro="[0]!Monday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01EF50E-49A8-4525-9BCD-79C9B88BF866}"/>
            </a:ext>
          </a:extLst>
        </xdr:cNvPr>
        <xdr:cNvSpPr/>
      </xdr:nvSpPr>
      <xdr:spPr>
        <a:xfrm>
          <a:off x="9914659" y="770659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0</xdr:colOff>
      <xdr:row>4</xdr:row>
      <xdr:rowOff>216477</xdr:rowOff>
    </xdr:to>
    <xdr:sp macro="[0]!Tuesday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CDB80AB-1C8D-41C9-95A9-4A7D254260E3}"/>
            </a:ext>
          </a:extLst>
        </xdr:cNvPr>
        <xdr:cNvSpPr/>
      </xdr:nvSpPr>
      <xdr:spPr>
        <a:xfrm>
          <a:off x="9914659" y="1004455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5</xdr:row>
      <xdr:rowOff>216477</xdr:rowOff>
    </xdr:to>
    <xdr:sp macro="[0]!Wednesday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4CE6F43-EF86-46A7-B368-3070FC1958DD}"/>
            </a:ext>
          </a:extLst>
        </xdr:cNvPr>
        <xdr:cNvSpPr/>
      </xdr:nvSpPr>
      <xdr:spPr>
        <a:xfrm>
          <a:off x="9914659" y="1246909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6</xdr:row>
      <xdr:rowOff>216477</xdr:rowOff>
    </xdr:to>
    <xdr:sp macro="[0]!Thursday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95B8432-0526-45BA-96C2-E8AF4D6C71A9}"/>
            </a:ext>
          </a:extLst>
        </xdr:cNvPr>
        <xdr:cNvSpPr/>
      </xdr:nvSpPr>
      <xdr:spPr>
        <a:xfrm>
          <a:off x="9914659" y="1489364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7</xdr:row>
      <xdr:rowOff>216477</xdr:rowOff>
    </xdr:to>
    <xdr:sp macro="[0]!Friday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431D26C-F6CB-4051-ABD7-F736C5E11342}"/>
            </a:ext>
          </a:extLst>
        </xdr:cNvPr>
        <xdr:cNvSpPr/>
      </xdr:nvSpPr>
      <xdr:spPr>
        <a:xfrm>
          <a:off x="9914659" y="1731818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8</xdr:row>
      <xdr:rowOff>216477</xdr:rowOff>
    </xdr:to>
    <xdr:sp macro="[0]!Saturday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4A35971-6860-4465-9E7C-BF5ECD80A59D}"/>
            </a:ext>
          </a:extLst>
        </xdr:cNvPr>
        <xdr:cNvSpPr/>
      </xdr:nvSpPr>
      <xdr:spPr>
        <a:xfrm>
          <a:off x="9914659" y="1974273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9</xdr:row>
      <xdr:rowOff>216477</xdr:rowOff>
    </xdr:to>
    <xdr:sp macro="[0]!Sunday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7352E91B-DCD7-4C63-8CE0-9EE87DF553DA}"/>
            </a:ext>
          </a:extLst>
        </xdr:cNvPr>
        <xdr:cNvSpPr/>
      </xdr:nvSpPr>
      <xdr:spPr>
        <a:xfrm>
          <a:off x="9914659" y="2216727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216477</xdr:rowOff>
    </xdr:to>
    <xdr:sp macro="[0]!Monday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FCFBB98-54BB-498E-8B43-BACD03CA79BF}"/>
            </a:ext>
          </a:extLst>
        </xdr:cNvPr>
        <xdr:cNvSpPr/>
      </xdr:nvSpPr>
      <xdr:spPr>
        <a:xfrm>
          <a:off x="9914659" y="3429000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11</xdr:col>
      <xdr:colOff>0</xdr:colOff>
      <xdr:row>15</xdr:row>
      <xdr:rowOff>216477</xdr:rowOff>
    </xdr:to>
    <xdr:sp macro="[0]!Tuesday2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CDED80C3-D817-416B-82EE-877FEEF5A8DD}"/>
            </a:ext>
          </a:extLst>
        </xdr:cNvPr>
        <xdr:cNvSpPr/>
      </xdr:nvSpPr>
      <xdr:spPr>
        <a:xfrm>
          <a:off x="9914659" y="3671455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11</xdr:col>
      <xdr:colOff>0</xdr:colOff>
      <xdr:row>16</xdr:row>
      <xdr:rowOff>216477</xdr:rowOff>
    </xdr:to>
    <xdr:sp macro="[0]!Wednesday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CEAC6805-B76E-4F9F-B222-4B49F369C928}"/>
            </a:ext>
          </a:extLst>
        </xdr:cNvPr>
        <xdr:cNvSpPr/>
      </xdr:nvSpPr>
      <xdr:spPr>
        <a:xfrm>
          <a:off x="9914659" y="3913909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11</xdr:col>
      <xdr:colOff>0</xdr:colOff>
      <xdr:row>17</xdr:row>
      <xdr:rowOff>216477</xdr:rowOff>
    </xdr:to>
    <xdr:sp macro="[0]!Thursday2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595D8839-8172-42A1-AF48-3313F6CD0D00}"/>
            </a:ext>
          </a:extLst>
        </xdr:cNvPr>
        <xdr:cNvSpPr/>
      </xdr:nvSpPr>
      <xdr:spPr>
        <a:xfrm>
          <a:off x="9914659" y="4156364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11</xdr:col>
      <xdr:colOff>0</xdr:colOff>
      <xdr:row>18</xdr:row>
      <xdr:rowOff>216477</xdr:rowOff>
    </xdr:to>
    <xdr:sp macro="[0]!Friday2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E52F2FAF-F650-4C9F-9451-BB34E4333E6D}"/>
            </a:ext>
          </a:extLst>
        </xdr:cNvPr>
        <xdr:cNvSpPr/>
      </xdr:nvSpPr>
      <xdr:spPr>
        <a:xfrm>
          <a:off x="9914659" y="4398818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11</xdr:col>
      <xdr:colOff>0</xdr:colOff>
      <xdr:row>19</xdr:row>
      <xdr:rowOff>216477</xdr:rowOff>
    </xdr:to>
    <xdr:sp macro="[0]!Saturday2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7473CD19-9F92-47EA-8E17-7DEDEDE5F66C}"/>
            </a:ext>
          </a:extLst>
        </xdr:cNvPr>
        <xdr:cNvSpPr/>
      </xdr:nvSpPr>
      <xdr:spPr>
        <a:xfrm>
          <a:off x="9914659" y="4641273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  <xdr:twoCellAnchor>
    <xdr:from>
      <xdr:col>10</xdr:col>
      <xdr:colOff>0</xdr:colOff>
      <xdr:row>20</xdr:row>
      <xdr:rowOff>0</xdr:rowOff>
    </xdr:from>
    <xdr:to>
      <xdr:col>11</xdr:col>
      <xdr:colOff>0</xdr:colOff>
      <xdr:row>20</xdr:row>
      <xdr:rowOff>216477</xdr:rowOff>
    </xdr:to>
    <xdr:sp macro="[0]!Sunday2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EF386A2E-A440-4429-972E-3F96F2ADFA22}"/>
            </a:ext>
          </a:extLst>
        </xdr:cNvPr>
        <xdr:cNvSpPr/>
      </xdr:nvSpPr>
      <xdr:spPr>
        <a:xfrm>
          <a:off x="9914659" y="4883727"/>
          <a:ext cx="961159" cy="2164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Exclude day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06F81-0B95-9443-8D46-9F30A5E04CD2}">
  <sheetPr codeName="Sheet1"/>
  <dimension ref="A1:M28"/>
  <sheetViews>
    <sheetView zoomScale="106" zoomScaleNormal="132" zoomScaleSheetLayoutView="100" workbookViewId="0">
      <selection activeCell="N10" sqref="N10"/>
    </sheetView>
  </sheetViews>
  <sheetFormatPr defaultColWidth="8.85546875" defaultRowHeight="15" x14ac:dyDescent="0.25"/>
  <cols>
    <col min="1" max="1" width="17.7109375" customWidth="1"/>
    <col min="2" max="2" width="14" bestFit="1" customWidth="1"/>
    <col min="3" max="3" width="12.42578125" customWidth="1"/>
    <col min="4" max="4" width="18.42578125" customWidth="1"/>
    <col min="5" max="5" width="16.140625" customWidth="1"/>
    <col min="6" max="6" width="20.7109375" customWidth="1"/>
    <col min="7" max="7" width="19" customWidth="1"/>
    <col min="8" max="8" width="13.42578125" customWidth="1"/>
    <col min="9" max="12" width="17.28515625" customWidth="1"/>
    <col min="13" max="13" width="18.140625" customWidth="1"/>
    <col min="14" max="14" width="17.42578125" customWidth="1"/>
  </cols>
  <sheetData>
    <row r="1" spans="1:13" ht="22.5" thickTop="1" thickBot="1" x14ac:dyDescent="0.4">
      <c r="A1" s="5" t="s">
        <v>0</v>
      </c>
      <c r="B1" s="6" t="s">
        <v>2</v>
      </c>
      <c r="C1" s="42" t="s">
        <v>34</v>
      </c>
      <c r="D1" s="42"/>
      <c r="E1" s="42"/>
      <c r="F1" s="42"/>
    </row>
    <row r="2" spans="1:13" ht="21" thickTop="1" thickBot="1" x14ac:dyDescent="0.35">
      <c r="A2" s="2" t="s">
        <v>15</v>
      </c>
      <c r="B2" s="34">
        <v>30</v>
      </c>
      <c r="C2" s="22"/>
      <c r="D2" s="23"/>
      <c r="E2" s="24"/>
      <c r="F2" s="25"/>
    </row>
    <row r="3" spans="1:13" ht="16.5" thickTop="1" thickBot="1" x14ac:dyDescent="0.3">
      <c r="A3" s="3" t="s">
        <v>18</v>
      </c>
      <c r="B3" s="3" t="s">
        <v>4</v>
      </c>
      <c r="C3" s="3" t="s">
        <v>5</v>
      </c>
      <c r="D3" s="3" t="s">
        <v>3</v>
      </c>
      <c r="E3" s="3" t="s">
        <v>23</v>
      </c>
      <c r="F3" s="3" t="s">
        <v>21</v>
      </c>
      <c r="G3" s="3" t="s">
        <v>27</v>
      </c>
      <c r="H3" s="3" t="s">
        <v>7</v>
      </c>
      <c r="I3" s="3" t="s">
        <v>8</v>
      </c>
      <c r="J3" s="8" t="s">
        <v>29</v>
      </c>
      <c r="K3" s="12">
        <v>-0.04</v>
      </c>
      <c r="L3" s="3" t="s">
        <v>28</v>
      </c>
    </row>
    <row r="4" spans="1:13" ht="18.75" thickTop="1" thickBot="1" x14ac:dyDescent="0.35">
      <c r="A4" s="4" t="s">
        <v>9</v>
      </c>
      <c r="B4" s="26">
        <v>0.25</v>
      </c>
      <c r="C4" s="26">
        <v>0.79166666666666663</v>
      </c>
      <c r="D4" s="33" t="s">
        <v>35</v>
      </c>
      <c r="E4" s="10" t="str">
        <f>IF(C4=B4,"0:00",TEXT(C4-B4-D4, "h:mm"))</f>
        <v>12:00</v>
      </c>
      <c r="F4" s="11" t="str">
        <f>TEXT(C4-B4, "h:mm")</f>
        <v>13:00</v>
      </c>
      <c r="G4" s="27">
        <f>(E4*24)*B2</f>
        <v>360</v>
      </c>
      <c r="H4" s="28">
        <v>0</v>
      </c>
      <c r="I4" s="29">
        <v>0</v>
      </c>
      <c r="J4" s="30">
        <f>G4+I4-H4</f>
        <v>360</v>
      </c>
      <c r="K4" s="31">
        <f>J4*-0.04</f>
        <v>-14.4</v>
      </c>
      <c r="L4" s="32">
        <f>J4+K4</f>
        <v>345.6</v>
      </c>
    </row>
    <row r="5" spans="1:13" ht="18.75" thickTop="1" thickBot="1" x14ac:dyDescent="0.35">
      <c r="A5" s="4" t="s">
        <v>10</v>
      </c>
      <c r="B5" s="26">
        <v>0.25</v>
      </c>
      <c r="C5" s="26">
        <v>0.79166666666666663</v>
      </c>
      <c r="D5" s="33" t="s">
        <v>35</v>
      </c>
      <c r="E5" s="10" t="str">
        <f t="shared" ref="E5:E9" si="0">IF(C5=B5,"0:00",TEXT(C5-B5-D5, "h:mm"))</f>
        <v>12:00</v>
      </c>
      <c r="F5" s="11" t="str">
        <f t="shared" ref="F5:F10" si="1">TEXT(C5-B5, "h:mm")</f>
        <v>13:00</v>
      </c>
      <c r="G5" s="27">
        <f>(E5*24)*B2</f>
        <v>360</v>
      </c>
      <c r="H5" s="28">
        <v>0</v>
      </c>
      <c r="I5" s="29">
        <v>0</v>
      </c>
      <c r="J5" s="30">
        <f t="shared" ref="J5:J10" si="2">G5+I5-H5</f>
        <v>360</v>
      </c>
      <c r="K5" s="31">
        <f>J5*-0.04</f>
        <v>-14.4</v>
      </c>
      <c r="L5" s="32">
        <f t="shared" ref="L5:L10" si="3">J5+K5</f>
        <v>345.6</v>
      </c>
      <c r="M5" s="7"/>
    </row>
    <row r="6" spans="1:13" ht="18.75" thickTop="1" thickBot="1" x14ac:dyDescent="0.35">
      <c r="A6" s="4" t="s">
        <v>11</v>
      </c>
      <c r="B6" s="26">
        <v>0.25</v>
      </c>
      <c r="C6" s="26">
        <v>0.79166666666666663</v>
      </c>
      <c r="D6" s="33" t="s">
        <v>35</v>
      </c>
      <c r="E6" s="10" t="str">
        <f>IF(C6=B6,"0:00",TEXT(C6-B6-D6, "h:mm"))</f>
        <v>12:00</v>
      </c>
      <c r="F6" s="11" t="str">
        <f t="shared" si="1"/>
        <v>13:00</v>
      </c>
      <c r="G6" s="27">
        <f>(E6*24)*B2</f>
        <v>360</v>
      </c>
      <c r="H6" s="28">
        <v>0</v>
      </c>
      <c r="I6" s="29">
        <v>0</v>
      </c>
      <c r="J6" s="30">
        <f>G6+I6-H6</f>
        <v>360</v>
      </c>
      <c r="K6" s="31">
        <f t="shared" ref="K6:K10" si="4">J6*-0.04</f>
        <v>-14.4</v>
      </c>
      <c r="L6" s="32">
        <f>J6+K6</f>
        <v>345.6</v>
      </c>
    </row>
    <row r="7" spans="1:13" ht="18.75" thickTop="1" thickBot="1" x14ac:dyDescent="0.35">
      <c r="A7" s="4" t="s">
        <v>12</v>
      </c>
      <c r="B7" s="26">
        <v>0.25</v>
      </c>
      <c r="C7" s="26">
        <v>0.79166666666666663</v>
      </c>
      <c r="D7" s="33" t="s">
        <v>35</v>
      </c>
      <c r="E7" s="10" t="str">
        <f t="shared" si="0"/>
        <v>12:00</v>
      </c>
      <c r="F7" s="11" t="str">
        <f t="shared" si="1"/>
        <v>13:00</v>
      </c>
      <c r="G7" s="27">
        <f>(E7*24)*B2</f>
        <v>360</v>
      </c>
      <c r="H7" s="28">
        <v>0</v>
      </c>
      <c r="I7" s="29">
        <v>0</v>
      </c>
      <c r="J7" s="30">
        <f t="shared" si="2"/>
        <v>360</v>
      </c>
      <c r="K7" s="31">
        <f t="shared" si="4"/>
        <v>-14.4</v>
      </c>
      <c r="L7" s="32">
        <f>J7+K7</f>
        <v>345.6</v>
      </c>
    </row>
    <row r="8" spans="1:13" ht="18.75" thickTop="1" thickBot="1" x14ac:dyDescent="0.35">
      <c r="A8" s="4" t="s">
        <v>13</v>
      </c>
      <c r="B8" s="26">
        <v>0.25</v>
      </c>
      <c r="C8" s="26">
        <v>0.79166666666666663</v>
      </c>
      <c r="D8" s="33" t="s">
        <v>35</v>
      </c>
      <c r="E8" s="10" t="str">
        <f t="shared" si="0"/>
        <v>12:00</v>
      </c>
      <c r="F8" s="11" t="str">
        <f t="shared" si="1"/>
        <v>13:00</v>
      </c>
      <c r="G8" s="27">
        <f>(E8*24)*B2</f>
        <v>360</v>
      </c>
      <c r="H8" s="28">
        <v>0</v>
      </c>
      <c r="I8" s="29">
        <v>0</v>
      </c>
      <c r="J8" s="30">
        <f t="shared" si="2"/>
        <v>360</v>
      </c>
      <c r="K8" s="31">
        <f t="shared" si="4"/>
        <v>-14.4</v>
      </c>
      <c r="L8" s="32">
        <f>J8+K8</f>
        <v>345.6</v>
      </c>
    </row>
    <row r="9" spans="1:13" ht="18.75" thickTop="1" thickBot="1" x14ac:dyDescent="0.35">
      <c r="A9" s="4" t="s">
        <v>14</v>
      </c>
      <c r="B9" s="26">
        <v>0.25</v>
      </c>
      <c r="C9" s="26">
        <v>0.79166666666666663</v>
      </c>
      <c r="D9" s="33" t="s">
        <v>35</v>
      </c>
      <c r="E9" s="10" t="str">
        <f t="shared" si="0"/>
        <v>12:00</v>
      </c>
      <c r="F9" s="11" t="str">
        <f t="shared" si="1"/>
        <v>13:00</v>
      </c>
      <c r="G9" s="27">
        <f>(E9*24)*B2</f>
        <v>360</v>
      </c>
      <c r="H9" s="28">
        <v>0</v>
      </c>
      <c r="I9" s="29">
        <v>0</v>
      </c>
      <c r="J9" s="30">
        <f t="shared" si="2"/>
        <v>360</v>
      </c>
      <c r="K9" s="31">
        <f t="shared" si="4"/>
        <v>-14.4</v>
      </c>
      <c r="L9" s="32">
        <f t="shared" si="3"/>
        <v>345.6</v>
      </c>
    </row>
    <row r="10" spans="1:13" ht="18.75" thickTop="1" thickBot="1" x14ac:dyDescent="0.35">
      <c r="A10" s="4" t="s">
        <v>16</v>
      </c>
      <c r="B10" s="26">
        <v>0.25</v>
      </c>
      <c r="C10" s="26">
        <v>0.79166666666666663</v>
      </c>
      <c r="D10" s="33" t="s">
        <v>35</v>
      </c>
      <c r="E10" s="10" t="str">
        <f>IF(C10=B10,"0:00",TEXT(C10-B10-D10, "h:mm"))</f>
        <v>12:00</v>
      </c>
      <c r="F10" s="11" t="str">
        <f t="shared" si="1"/>
        <v>13:00</v>
      </c>
      <c r="G10" s="27">
        <f>(E10*24)*B2</f>
        <v>360</v>
      </c>
      <c r="H10" s="28">
        <v>0</v>
      </c>
      <c r="I10" s="29">
        <v>0</v>
      </c>
      <c r="J10" s="30">
        <f t="shared" si="2"/>
        <v>360</v>
      </c>
      <c r="K10" s="31">
        <f t="shared" si="4"/>
        <v>-14.4</v>
      </c>
      <c r="L10" s="32">
        <f t="shared" si="3"/>
        <v>345.6</v>
      </c>
    </row>
    <row r="11" spans="1:13" ht="16.5" thickTop="1" thickBot="1" x14ac:dyDescent="0.3">
      <c r="C11" s="1"/>
      <c r="D11" s="8" t="s">
        <v>25</v>
      </c>
      <c r="E11" s="8" t="s">
        <v>6</v>
      </c>
      <c r="F11" s="3" t="s">
        <v>22</v>
      </c>
      <c r="G11" s="9" t="s">
        <v>1</v>
      </c>
      <c r="H11" s="3" t="s">
        <v>20</v>
      </c>
      <c r="I11" s="3" t="s">
        <v>19</v>
      </c>
      <c r="J11" s="3" t="s">
        <v>30</v>
      </c>
      <c r="K11" s="12">
        <v>-0.04</v>
      </c>
      <c r="L11" s="20" t="s">
        <v>33</v>
      </c>
    </row>
    <row r="12" spans="1:13" ht="21" thickTop="1" thickBot="1" x14ac:dyDescent="0.35">
      <c r="C12" s="1"/>
      <c r="D12" s="14">
        <f t="shared" ref="D12:L12" si="5">D4+D5+D6+D7+D8+D9+D10</f>
        <v>0.29166666666666663</v>
      </c>
      <c r="E12" s="14">
        <f t="shared" si="5"/>
        <v>3.5</v>
      </c>
      <c r="F12" s="14">
        <f t="shared" si="5"/>
        <v>3.7916666666666661</v>
      </c>
      <c r="G12" s="16">
        <f>G4+G5+G6+G7+G8+G9+G10</f>
        <v>2520</v>
      </c>
      <c r="H12" s="19">
        <f>H4+H5+H6+H7+H8+H9+H10</f>
        <v>0</v>
      </c>
      <c r="I12" s="15">
        <f t="shared" ref="I12" si="6">I4+I5+I6+I7+I8+I9+I10</f>
        <v>0</v>
      </c>
      <c r="J12" s="15">
        <f>J4+J5+J6+J7+J8+J9+J10</f>
        <v>2520</v>
      </c>
      <c r="K12" s="17">
        <f t="shared" si="5"/>
        <v>-100.80000000000001</v>
      </c>
      <c r="L12" s="16">
        <f t="shared" si="5"/>
        <v>2419.1999999999998</v>
      </c>
    </row>
    <row r="13" spans="1:13" ht="22.5" thickTop="1" thickBot="1" x14ac:dyDescent="0.4">
      <c r="A13" s="37" t="s">
        <v>24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3" ht="16.5" thickTop="1" thickBot="1" x14ac:dyDescent="0.3">
      <c r="A14" s="3" t="s">
        <v>18</v>
      </c>
      <c r="B14" s="3" t="s">
        <v>4</v>
      </c>
      <c r="C14" s="3" t="s">
        <v>5</v>
      </c>
      <c r="D14" s="3" t="s">
        <v>3</v>
      </c>
      <c r="E14" s="3" t="s">
        <v>23</v>
      </c>
      <c r="F14" s="3" t="s">
        <v>21</v>
      </c>
      <c r="G14" s="3" t="s">
        <v>27</v>
      </c>
      <c r="H14" s="3" t="s">
        <v>7</v>
      </c>
      <c r="I14" s="3" t="s">
        <v>8</v>
      </c>
      <c r="J14" s="8" t="s">
        <v>29</v>
      </c>
      <c r="K14" s="12">
        <v>-0.04</v>
      </c>
      <c r="L14" s="3" t="s">
        <v>28</v>
      </c>
    </row>
    <row r="15" spans="1:13" ht="18.75" thickTop="1" thickBot="1" x14ac:dyDescent="0.35">
      <c r="A15" s="4" t="s">
        <v>9</v>
      </c>
      <c r="B15" s="26">
        <v>0.25</v>
      </c>
      <c r="C15" s="26">
        <v>0.79166666666666663</v>
      </c>
      <c r="D15" s="33" t="s">
        <v>35</v>
      </c>
      <c r="E15" s="10" t="str">
        <f>IF(C15=B15,"0:00",TEXT(C15-B15-D15, "h:mm"))</f>
        <v>12:00</v>
      </c>
      <c r="F15" s="11" t="str">
        <f>TEXT(C15-B15, "h:mm")</f>
        <v>13:00</v>
      </c>
      <c r="G15" s="27">
        <f>(E15*24)*B2</f>
        <v>360</v>
      </c>
      <c r="H15" s="28">
        <v>0</v>
      </c>
      <c r="I15" s="29">
        <v>0</v>
      </c>
      <c r="J15" s="30">
        <f>G15+I15-H15</f>
        <v>360</v>
      </c>
      <c r="K15" s="31">
        <f>J15*-0.04</f>
        <v>-14.4</v>
      </c>
      <c r="L15" s="32">
        <f>J15+K15</f>
        <v>345.6</v>
      </c>
    </row>
    <row r="16" spans="1:13" ht="18.75" thickTop="1" thickBot="1" x14ac:dyDescent="0.35">
      <c r="A16" s="4" t="s">
        <v>10</v>
      </c>
      <c r="B16" s="26">
        <v>0.25</v>
      </c>
      <c r="C16" s="26">
        <v>0.79166666666666663</v>
      </c>
      <c r="D16" s="33" t="s">
        <v>35</v>
      </c>
      <c r="E16" s="10" t="str">
        <f t="shared" ref="E16:E20" si="7">IF(C16=B16,"0:00",TEXT(C16-B16-D16, "h:mm"))</f>
        <v>12:00</v>
      </c>
      <c r="F16" s="11" t="str">
        <f t="shared" ref="F16:F21" si="8">TEXT(C16-B16, "h:mm")</f>
        <v>13:00</v>
      </c>
      <c r="G16" s="27">
        <f>(E16*24)*B2</f>
        <v>360</v>
      </c>
      <c r="H16" s="28">
        <v>0</v>
      </c>
      <c r="I16" s="29">
        <v>0</v>
      </c>
      <c r="J16" s="30">
        <f t="shared" ref="J16" si="9">G16+I16-H16</f>
        <v>360</v>
      </c>
      <c r="K16" s="31">
        <f>J16*-0.04</f>
        <v>-14.4</v>
      </c>
      <c r="L16" s="32">
        <f>J16+K16</f>
        <v>345.6</v>
      </c>
    </row>
    <row r="17" spans="1:12" ht="18.75" thickTop="1" thickBot="1" x14ac:dyDescent="0.35">
      <c r="A17" s="4" t="s">
        <v>11</v>
      </c>
      <c r="B17" s="26">
        <v>0.25</v>
      </c>
      <c r="C17" s="26">
        <v>0.79166666666666663</v>
      </c>
      <c r="D17" s="33" t="s">
        <v>35</v>
      </c>
      <c r="E17" s="10" t="str">
        <f t="shared" si="7"/>
        <v>12:00</v>
      </c>
      <c r="F17" s="11" t="str">
        <f t="shared" si="8"/>
        <v>13:00</v>
      </c>
      <c r="G17" s="27">
        <f>(E17*24)*B2</f>
        <v>360</v>
      </c>
      <c r="H17" s="28">
        <v>0</v>
      </c>
      <c r="I17" s="29">
        <v>0</v>
      </c>
      <c r="J17" s="30">
        <f>G17+I17-H17</f>
        <v>360</v>
      </c>
      <c r="K17" s="31">
        <f t="shared" ref="K17:K20" si="10">J17*-0.04</f>
        <v>-14.4</v>
      </c>
      <c r="L17" s="32">
        <f>J17+K17</f>
        <v>345.6</v>
      </c>
    </row>
    <row r="18" spans="1:12" ht="18.75" thickTop="1" thickBot="1" x14ac:dyDescent="0.35">
      <c r="A18" s="4" t="s">
        <v>12</v>
      </c>
      <c r="B18" s="26">
        <v>0.25</v>
      </c>
      <c r="C18" s="26">
        <v>0.79166666666666663</v>
      </c>
      <c r="D18" s="33" t="s">
        <v>35</v>
      </c>
      <c r="E18" s="10" t="str">
        <f t="shared" si="7"/>
        <v>12:00</v>
      </c>
      <c r="F18" s="11" t="str">
        <f t="shared" si="8"/>
        <v>13:00</v>
      </c>
      <c r="G18" s="27">
        <f>(E18*24)*B2</f>
        <v>360</v>
      </c>
      <c r="H18" s="28">
        <v>0</v>
      </c>
      <c r="I18" s="29">
        <v>0</v>
      </c>
      <c r="J18" s="30">
        <f t="shared" ref="J18:J21" si="11">G18+I18-H18</f>
        <v>360</v>
      </c>
      <c r="K18" s="31">
        <f t="shared" si="10"/>
        <v>-14.4</v>
      </c>
      <c r="L18" s="32">
        <f>J18+K18</f>
        <v>345.6</v>
      </c>
    </row>
    <row r="19" spans="1:12" ht="18.75" thickTop="1" thickBot="1" x14ac:dyDescent="0.35">
      <c r="A19" s="4" t="s">
        <v>13</v>
      </c>
      <c r="B19" s="26">
        <v>0.25</v>
      </c>
      <c r="C19" s="26">
        <v>0.79166666666666663</v>
      </c>
      <c r="D19" s="33" t="s">
        <v>35</v>
      </c>
      <c r="E19" s="10" t="str">
        <f t="shared" si="7"/>
        <v>12:00</v>
      </c>
      <c r="F19" s="11" t="str">
        <f t="shared" si="8"/>
        <v>13:00</v>
      </c>
      <c r="G19" s="27">
        <f>(E19*24)*B2</f>
        <v>360</v>
      </c>
      <c r="H19" s="28">
        <v>0</v>
      </c>
      <c r="I19" s="29">
        <v>0</v>
      </c>
      <c r="J19" s="30">
        <f t="shared" si="11"/>
        <v>360</v>
      </c>
      <c r="K19" s="31">
        <f t="shared" si="10"/>
        <v>-14.4</v>
      </c>
      <c r="L19" s="32">
        <f>J19+K19</f>
        <v>345.6</v>
      </c>
    </row>
    <row r="20" spans="1:12" ht="15.95" customHeight="1" thickTop="1" thickBot="1" x14ac:dyDescent="0.35">
      <c r="A20" s="4" t="s">
        <v>14</v>
      </c>
      <c r="B20" s="26">
        <v>0.25</v>
      </c>
      <c r="C20" s="26">
        <v>0.79166666666666663</v>
      </c>
      <c r="D20" s="33" t="s">
        <v>35</v>
      </c>
      <c r="E20" s="10" t="str">
        <f t="shared" si="7"/>
        <v>12:00</v>
      </c>
      <c r="F20" s="11" t="str">
        <f t="shared" si="8"/>
        <v>13:00</v>
      </c>
      <c r="G20" s="27">
        <f>(E20*24)*B2</f>
        <v>360</v>
      </c>
      <c r="H20" s="28">
        <v>0</v>
      </c>
      <c r="I20" s="29">
        <v>0</v>
      </c>
      <c r="J20" s="30">
        <f t="shared" si="11"/>
        <v>360</v>
      </c>
      <c r="K20" s="31">
        <f t="shared" si="10"/>
        <v>-14.4</v>
      </c>
      <c r="L20" s="32">
        <f t="shared" ref="L20:L21" si="12">J20+K20</f>
        <v>345.6</v>
      </c>
    </row>
    <row r="21" spans="1:12" ht="18.75" thickTop="1" thickBot="1" x14ac:dyDescent="0.35">
      <c r="A21" s="4" t="s">
        <v>16</v>
      </c>
      <c r="B21" s="26">
        <v>0.25</v>
      </c>
      <c r="C21" s="26">
        <v>0.79166666666666663</v>
      </c>
      <c r="D21" s="33" t="s">
        <v>35</v>
      </c>
      <c r="E21" s="10" t="str">
        <f>IF(C21=B21,"0:00",TEXT(C21-B21-D21, "h:mm"))</f>
        <v>12:00</v>
      </c>
      <c r="F21" s="11" t="str">
        <f t="shared" si="8"/>
        <v>13:00</v>
      </c>
      <c r="G21" s="27">
        <f>(E21*24)*B2</f>
        <v>360</v>
      </c>
      <c r="H21" s="28">
        <v>0</v>
      </c>
      <c r="I21" s="29">
        <v>0</v>
      </c>
      <c r="J21" s="30">
        <f t="shared" si="11"/>
        <v>360</v>
      </c>
      <c r="K21" s="31">
        <f>J21*-0.04</f>
        <v>-14.4</v>
      </c>
      <c r="L21" s="32">
        <f t="shared" si="12"/>
        <v>345.6</v>
      </c>
    </row>
    <row r="22" spans="1:12" ht="16.5" thickTop="1" thickBot="1" x14ac:dyDescent="0.3">
      <c r="C22" s="1"/>
      <c r="D22" s="8" t="s">
        <v>25</v>
      </c>
      <c r="E22" s="8" t="s">
        <v>6</v>
      </c>
      <c r="F22" s="3" t="s">
        <v>22</v>
      </c>
      <c r="G22" s="9" t="s">
        <v>1</v>
      </c>
      <c r="H22" s="3" t="s">
        <v>20</v>
      </c>
      <c r="I22" s="3" t="s">
        <v>19</v>
      </c>
      <c r="J22" s="3" t="s">
        <v>30</v>
      </c>
      <c r="K22" s="12">
        <v>-0.04</v>
      </c>
      <c r="L22" s="20" t="s">
        <v>33</v>
      </c>
    </row>
    <row r="23" spans="1:12" ht="17.100000000000001" customHeight="1" thickTop="1" thickBot="1" x14ac:dyDescent="0.35">
      <c r="C23" s="1"/>
      <c r="D23" s="14">
        <f t="shared" ref="D23:F23" si="13">D15+D16+D17+D18+D19+D20+D21</f>
        <v>0.29166666666666663</v>
      </c>
      <c r="E23" s="14">
        <f t="shared" si="13"/>
        <v>3.5</v>
      </c>
      <c r="F23" s="14">
        <f t="shared" si="13"/>
        <v>3.7916666666666661</v>
      </c>
      <c r="G23" s="16">
        <f>G15+G16+G17+G18+G19+G20+G21</f>
        <v>2520</v>
      </c>
      <c r="H23" s="19">
        <f>H15+H16+H17+H18+H19+H20+H21</f>
        <v>0</v>
      </c>
      <c r="I23" s="15">
        <f>I15+I16+I17+I18+I19+I20+I21</f>
        <v>0</v>
      </c>
      <c r="J23" s="15">
        <f>J15+J16+J17+J18+J19+J20+J21</f>
        <v>2520</v>
      </c>
      <c r="K23" s="17">
        <f t="shared" ref="K23:L23" si="14">K15+K16+K17+K18+K19+K20+K21</f>
        <v>-100.80000000000001</v>
      </c>
      <c r="L23" s="16">
        <f t="shared" si="14"/>
        <v>2419.1999999999998</v>
      </c>
    </row>
    <row r="24" spans="1:12" ht="24" customHeight="1" thickTop="1" x14ac:dyDescent="0.35">
      <c r="A24" s="39" t="s">
        <v>17</v>
      </c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</row>
    <row r="25" spans="1:12" ht="17.100000000000001" customHeight="1" thickBot="1" x14ac:dyDescent="0.3">
      <c r="A25" s="41" t="s">
        <v>26</v>
      </c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</row>
    <row r="26" spans="1:12" ht="17.100000000000001" customHeight="1" thickTop="1" thickBot="1" x14ac:dyDescent="0.3">
      <c r="D26" s="8" t="s">
        <v>25</v>
      </c>
      <c r="E26" s="8" t="s">
        <v>6</v>
      </c>
      <c r="F26" s="3" t="s">
        <v>22</v>
      </c>
      <c r="G26" s="3" t="s">
        <v>1</v>
      </c>
      <c r="H26" s="3" t="s">
        <v>20</v>
      </c>
      <c r="I26" s="9" t="s">
        <v>19</v>
      </c>
      <c r="J26" s="9" t="s">
        <v>31</v>
      </c>
      <c r="K26" s="9" t="s">
        <v>32</v>
      </c>
      <c r="L26" s="20" t="s">
        <v>33</v>
      </c>
    </row>
    <row r="27" spans="1:12" ht="22.5" thickTop="1" thickBot="1" x14ac:dyDescent="0.4">
      <c r="D27" s="13">
        <f>D12+D23</f>
        <v>0.58333333333333326</v>
      </c>
      <c r="E27" s="13">
        <f t="shared" ref="E27:L27" si="15">E12+E23</f>
        <v>7</v>
      </c>
      <c r="F27" s="13">
        <f t="shared" si="15"/>
        <v>7.5833333333333321</v>
      </c>
      <c r="G27" s="18">
        <f t="shared" si="15"/>
        <v>5040</v>
      </c>
      <c r="H27" s="21">
        <f>H12+H23</f>
        <v>0</v>
      </c>
      <c r="I27" s="18">
        <f t="shared" si="15"/>
        <v>0</v>
      </c>
      <c r="J27" s="18">
        <f t="shared" si="15"/>
        <v>5040</v>
      </c>
      <c r="K27" s="21">
        <f t="shared" si="15"/>
        <v>-201.60000000000002</v>
      </c>
      <c r="L27" s="18">
        <f t="shared" si="15"/>
        <v>4838.3999999999996</v>
      </c>
    </row>
    <row r="28" spans="1:12" ht="15.75" thickTop="1" x14ac:dyDescent="0.25"/>
  </sheetData>
  <mergeCells count="4">
    <mergeCell ref="A13:L13"/>
    <mergeCell ref="A24:L24"/>
    <mergeCell ref="A25:L25"/>
    <mergeCell ref="C1:F1"/>
  </mergeCells>
  <phoneticPr fontId="11" type="noConversion"/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53A3-9E74-BD4D-AE33-D694A3592DAA}">
  <sheetPr codeName="Sheet2"/>
  <dimension ref="A1:L28"/>
  <sheetViews>
    <sheetView tabSelected="1" zoomScale="110" zoomScaleNormal="110" workbookViewId="0">
      <selection activeCell="L4" sqref="L4"/>
    </sheetView>
  </sheetViews>
  <sheetFormatPr defaultColWidth="11.42578125" defaultRowHeight="15" x14ac:dyDescent="0.25"/>
  <cols>
    <col min="1" max="1" width="17.140625" customWidth="1"/>
    <col min="2" max="2" width="12.7109375" customWidth="1"/>
    <col min="3" max="3" width="13.28515625" customWidth="1"/>
    <col min="4" max="4" width="17.7109375" customWidth="1"/>
    <col min="5" max="5" width="15.140625" customWidth="1"/>
    <col min="6" max="6" width="17.140625" customWidth="1"/>
    <col min="7" max="7" width="14.28515625" customWidth="1"/>
    <col min="8" max="8" width="17" customWidth="1"/>
    <col min="9" max="9" width="15.140625" customWidth="1"/>
    <col min="10" max="10" width="18.85546875" customWidth="1"/>
    <col min="11" max="11" width="14.42578125" customWidth="1"/>
    <col min="12" max="12" width="16" customWidth="1"/>
  </cols>
  <sheetData>
    <row r="1" spans="1:12" ht="22.5" thickTop="1" thickBot="1" x14ac:dyDescent="0.4">
      <c r="A1" s="5" t="s">
        <v>0</v>
      </c>
      <c r="B1" s="6" t="s">
        <v>2</v>
      </c>
      <c r="C1" s="42" t="s">
        <v>34</v>
      </c>
      <c r="D1" s="42"/>
      <c r="E1" s="42"/>
      <c r="F1" s="42"/>
    </row>
    <row r="2" spans="1:12" ht="21" thickTop="1" thickBot="1" x14ac:dyDescent="0.35">
      <c r="A2" s="2" t="s">
        <v>15</v>
      </c>
      <c r="B2" s="34">
        <v>30</v>
      </c>
      <c r="C2" s="22"/>
      <c r="D2" s="23"/>
      <c r="E2" s="24"/>
      <c r="F2" s="25"/>
    </row>
    <row r="3" spans="1:12" ht="16.5" thickTop="1" thickBot="1" x14ac:dyDescent="0.3">
      <c r="A3" s="3" t="s">
        <v>18</v>
      </c>
      <c r="B3" s="3" t="s">
        <v>4</v>
      </c>
      <c r="C3" s="3" t="s">
        <v>5</v>
      </c>
      <c r="D3" s="3" t="s">
        <v>3</v>
      </c>
      <c r="E3" s="3" t="s">
        <v>23</v>
      </c>
      <c r="F3" s="3" t="s">
        <v>21</v>
      </c>
      <c r="G3" s="3" t="s">
        <v>27</v>
      </c>
      <c r="H3" s="3" t="s">
        <v>7</v>
      </c>
      <c r="I3" s="3" t="s">
        <v>8</v>
      </c>
      <c r="J3" s="8" t="s">
        <v>29</v>
      </c>
    </row>
    <row r="4" spans="1:12" ht="18.75" thickTop="1" thickBot="1" x14ac:dyDescent="0.35">
      <c r="A4" s="4" t="s">
        <v>9</v>
      </c>
      <c r="B4" s="26">
        <v>0.25</v>
      </c>
      <c r="C4" s="26">
        <v>0.79166666666666663</v>
      </c>
      <c r="D4" s="33" t="s">
        <v>35</v>
      </c>
      <c r="E4" s="10" t="str">
        <f>IF(C4=B4,"0:00",TEXT(C4-B4-D4, "h:mm"))</f>
        <v>12:00</v>
      </c>
      <c r="F4" s="11" t="str">
        <f>TEXT(C4-B4, "h:mm")</f>
        <v>13:00</v>
      </c>
      <c r="G4" s="27">
        <f>(E4*24)*B2</f>
        <v>360</v>
      </c>
      <c r="H4" s="28">
        <v>0</v>
      </c>
      <c r="I4" s="29">
        <v>0</v>
      </c>
      <c r="J4" s="30">
        <f>G4+I4-H4</f>
        <v>360</v>
      </c>
      <c r="K4" s="35"/>
      <c r="L4" s="36"/>
    </row>
    <row r="5" spans="1:12" ht="18.75" thickTop="1" thickBot="1" x14ac:dyDescent="0.35">
      <c r="A5" s="4" t="s">
        <v>10</v>
      </c>
      <c r="B5" s="26">
        <v>0.25</v>
      </c>
      <c r="C5" s="26">
        <v>0.79166666666666663</v>
      </c>
      <c r="D5" s="33" t="s">
        <v>35</v>
      </c>
      <c r="E5" s="10" t="str">
        <f t="shared" ref="E5:E9" si="0">IF(C5=B5,"0:00",TEXT(C5-B5-D5, "h:mm"))</f>
        <v>12:00</v>
      </c>
      <c r="F5" s="11" t="str">
        <f t="shared" ref="F5:F10" si="1">TEXT(C5-B5, "h:mm")</f>
        <v>13:00</v>
      </c>
      <c r="G5" s="27">
        <f>(E5*24)*B2</f>
        <v>360</v>
      </c>
      <c r="H5" s="28">
        <v>0</v>
      </c>
      <c r="I5" s="29">
        <v>0</v>
      </c>
      <c r="J5" s="30">
        <f t="shared" ref="J5:J10" si="2">G5+I5-H5</f>
        <v>360</v>
      </c>
      <c r="K5" s="35"/>
      <c r="L5" s="36"/>
    </row>
    <row r="6" spans="1:12" ht="18.75" thickTop="1" thickBot="1" x14ac:dyDescent="0.35">
      <c r="A6" s="4" t="s">
        <v>11</v>
      </c>
      <c r="B6" s="26">
        <v>0.25</v>
      </c>
      <c r="C6" s="26">
        <v>0.79166666666666663</v>
      </c>
      <c r="D6" s="33" t="s">
        <v>35</v>
      </c>
      <c r="E6" s="10" t="str">
        <f>IF(C6=B6,"0:00",TEXT(C6-B6-D6, "h:mm"))</f>
        <v>12:00</v>
      </c>
      <c r="F6" s="11" t="str">
        <f t="shared" si="1"/>
        <v>13:00</v>
      </c>
      <c r="G6" s="27">
        <f>(E6*24)*B2</f>
        <v>360</v>
      </c>
      <c r="H6" s="28">
        <v>0</v>
      </c>
      <c r="I6" s="29">
        <v>0</v>
      </c>
      <c r="J6" s="30">
        <f>G6+I6-H6</f>
        <v>360</v>
      </c>
      <c r="K6" s="35"/>
      <c r="L6" s="36"/>
    </row>
    <row r="7" spans="1:12" ht="18.75" thickTop="1" thickBot="1" x14ac:dyDescent="0.35">
      <c r="A7" s="4" t="s">
        <v>12</v>
      </c>
      <c r="B7" s="26">
        <v>0.25</v>
      </c>
      <c r="C7" s="26">
        <v>0.79166666666666663</v>
      </c>
      <c r="D7" s="33" t="s">
        <v>35</v>
      </c>
      <c r="E7" s="10" t="str">
        <f t="shared" si="0"/>
        <v>12:00</v>
      </c>
      <c r="F7" s="11" t="str">
        <f t="shared" si="1"/>
        <v>13:00</v>
      </c>
      <c r="G7" s="27">
        <f>(E7*24)*B2</f>
        <v>360</v>
      </c>
      <c r="H7" s="28">
        <v>0</v>
      </c>
      <c r="I7" s="29">
        <v>0</v>
      </c>
      <c r="J7" s="30">
        <f t="shared" si="2"/>
        <v>360</v>
      </c>
      <c r="K7" s="35"/>
      <c r="L7" s="36"/>
    </row>
    <row r="8" spans="1:12" ht="18.75" thickTop="1" thickBot="1" x14ac:dyDescent="0.35">
      <c r="A8" s="4" t="s">
        <v>13</v>
      </c>
      <c r="B8" s="26">
        <v>0.25</v>
      </c>
      <c r="C8" s="26">
        <v>0.79166666666666663</v>
      </c>
      <c r="D8" s="33" t="s">
        <v>35</v>
      </c>
      <c r="E8" s="10" t="str">
        <f t="shared" si="0"/>
        <v>12:00</v>
      </c>
      <c r="F8" s="11" t="str">
        <f t="shared" si="1"/>
        <v>13:00</v>
      </c>
      <c r="G8" s="27">
        <f>(E8*24)*B2</f>
        <v>360</v>
      </c>
      <c r="H8" s="28">
        <v>0</v>
      </c>
      <c r="I8" s="29">
        <v>0</v>
      </c>
      <c r="J8" s="30">
        <f t="shared" si="2"/>
        <v>360</v>
      </c>
      <c r="K8" s="35"/>
      <c r="L8" s="36"/>
    </row>
    <row r="9" spans="1:12" ht="18.75" thickTop="1" thickBot="1" x14ac:dyDescent="0.35">
      <c r="A9" s="4" t="s">
        <v>14</v>
      </c>
      <c r="B9" s="26">
        <v>0.25</v>
      </c>
      <c r="C9" s="26">
        <v>0.79166666666666663</v>
      </c>
      <c r="D9" s="33" t="s">
        <v>35</v>
      </c>
      <c r="E9" s="10" t="str">
        <f t="shared" si="0"/>
        <v>12:00</v>
      </c>
      <c r="F9" s="11" t="str">
        <f t="shared" si="1"/>
        <v>13:00</v>
      </c>
      <c r="G9" s="27">
        <f>(E9*24)*B2</f>
        <v>360</v>
      </c>
      <c r="H9" s="28">
        <v>0</v>
      </c>
      <c r="I9" s="29">
        <v>0</v>
      </c>
      <c r="J9" s="30">
        <f t="shared" si="2"/>
        <v>360</v>
      </c>
      <c r="K9" s="35"/>
      <c r="L9" s="36"/>
    </row>
    <row r="10" spans="1:12" ht="18.75" thickTop="1" thickBot="1" x14ac:dyDescent="0.35">
      <c r="A10" s="4" t="s">
        <v>16</v>
      </c>
      <c r="B10" s="26">
        <v>0.25</v>
      </c>
      <c r="C10" s="26">
        <v>0.79166666666666663</v>
      </c>
      <c r="D10" s="33" t="s">
        <v>35</v>
      </c>
      <c r="E10" s="10" t="str">
        <f>IF(C10=B10,"0:00",TEXT(C10-B10-D10, "h:mm"))</f>
        <v>12:00</v>
      </c>
      <c r="F10" s="11" t="str">
        <f t="shared" si="1"/>
        <v>13:00</v>
      </c>
      <c r="G10" s="27">
        <f>(E10*24)*B2</f>
        <v>360</v>
      </c>
      <c r="H10" s="28">
        <v>0</v>
      </c>
      <c r="I10" s="29">
        <v>0</v>
      </c>
      <c r="J10" s="30">
        <f t="shared" si="2"/>
        <v>360</v>
      </c>
      <c r="K10" s="35"/>
      <c r="L10" s="36"/>
    </row>
    <row r="11" spans="1:12" ht="16.5" thickTop="1" thickBot="1" x14ac:dyDescent="0.3">
      <c r="C11" s="1"/>
      <c r="D11" s="8" t="s">
        <v>25</v>
      </c>
      <c r="E11" s="8" t="s">
        <v>6</v>
      </c>
      <c r="F11" s="3" t="s">
        <v>22</v>
      </c>
      <c r="G11" s="9" t="s">
        <v>1</v>
      </c>
      <c r="H11" s="3" t="s">
        <v>20</v>
      </c>
      <c r="I11" s="3" t="s">
        <v>19</v>
      </c>
      <c r="J11" s="3" t="s">
        <v>30</v>
      </c>
    </row>
    <row r="12" spans="1:12" ht="21" thickTop="1" thickBot="1" x14ac:dyDescent="0.35">
      <c r="C12" s="1"/>
      <c r="D12" s="14">
        <f t="shared" ref="D12:F12" si="3">D4+D5+D6+D7+D8+D9+D10</f>
        <v>0.29166666666666663</v>
      </c>
      <c r="E12" s="14">
        <f t="shared" si="3"/>
        <v>3.5</v>
      </c>
      <c r="F12" s="14">
        <f t="shared" si="3"/>
        <v>3.7916666666666661</v>
      </c>
      <c r="G12" s="16">
        <f>G4+G5+G6+G7+G8+G9+G10</f>
        <v>2520</v>
      </c>
      <c r="H12" s="19">
        <f>H4+H5+H6+H7+H8+H9+H10</f>
        <v>0</v>
      </c>
      <c r="I12" s="15">
        <f t="shared" ref="I12" si="4">I4+I5+I6+I7+I8+I9+I10</f>
        <v>0</v>
      </c>
      <c r="J12" s="15">
        <f>J4+J5+J6+J7+J8+J9+J10</f>
        <v>2520</v>
      </c>
    </row>
    <row r="13" spans="1:12" ht="22.5" thickTop="1" thickBot="1" x14ac:dyDescent="0.4">
      <c r="A13" s="37" t="s">
        <v>24</v>
      </c>
      <c r="B13" s="38"/>
      <c r="C13" s="38"/>
      <c r="D13" s="38"/>
      <c r="E13" s="38"/>
      <c r="F13" s="38"/>
      <c r="G13" s="38"/>
      <c r="H13" s="38"/>
      <c r="I13" s="38"/>
      <c r="J13" s="38"/>
    </row>
    <row r="14" spans="1:12" ht="16.5" thickTop="1" thickBot="1" x14ac:dyDescent="0.3">
      <c r="A14" s="3" t="s">
        <v>18</v>
      </c>
      <c r="B14" s="3" t="s">
        <v>4</v>
      </c>
      <c r="C14" s="3" t="s">
        <v>5</v>
      </c>
      <c r="D14" s="3" t="s">
        <v>3</v>
      </c>
      <c r="E14" s="3" t="s">
        <v>23</v>
      </c>
      <c r="F14" s="3" t="s">
        <v>21</v>
      </c>
      <c r="G14" s="3" t="s">
        <v>27</v>
      </c>
      <c r="H14" s="3" t="s">
        <v>7</v>
      </c>
      <c r="I14" s="3" t="s">
        <v>8</v>
      </c>
      <c r="J14" s="8" t="s">
        <v>29</v>
      </c>
    </row>
    <row r="15" spans="1:12" ht="18.75" thickTop="1" thickBot="1" x14ac:dyDescent="0.35">
      <c r="A15" s="4" t="s">
        <v>9</v>
      </c>
      <c r="B15" s="26">
        <v>0.25</v>
      </c>
      <c r="C15" s="26">
        <v>0.79166666666666663</v>
      </c>
      <c r="D15" s="33" t="s">
        <v>35</v>
      </c>
      <c r="E15" s="10" t="str">
        <f>IF(C15=B15,"0:00",TEXT(C15-B15-D15, "h:mm"))</f>
        <v>12:00</v>
      </c>
      <c r="F15" s="11" t="str">
        <f>TEXT(C15-B15, "h:mm")</f>
        <v>13:00</v>
      </c>
      <c r="G15" s="27">
        <f>(E15*24)*B2</f>
        <v>360</v>
      </c>
      <c r="H15" s="28">
        <v>0</v>
      </c>
      <c r="I15" s="29">
        <v>0</v>
      </c>
      <c r="J15" s="30">
        <f>G15+I15-H15</f>
        <v>360</v>
      </c>
      <c r="K15" s="35"/>
      <c r="L15" s="36"/>
    </row>
    <row r="16" spans="1:12" ht="18.75" thickTop="1" thickBot="1" x14ac:dyDescent="0.35">
      <c r="A16" s="4" t="s">
        <v>10</v>
      </c>
      <c r="B16" s="26">
        <v>0.25</v>
      </c>
      <c r="C16" s="26">
        <v>0.79166666666666663</v>
      </c>
      <c r="D16" s="33" t="s">
        <v>35</v>
      </c>
      <c r="E16" s="10" t="str">
        <f t="shared" ref="E16:E20" si="5">IF(C16=B16,"0:00",TEXT(C16-B16-D16, "h:mm"))</f>
        <v>12:00</v>
      </c>
      <c r="F16" s="11" t="str">
        <f t="shared" ref="F16:F21" si="6">TEXT(C16-B16, "h:mm")</f>
        <v>13:00</v>
      </c>
      <c r="G16" s="27">
        <f>(E16*24)*B2</f>
        <v>360</v>
      </c>
      <c r="H16" s="28">
        <v>0</v>
      </c>
      <c r="I16" s="29">
        <v>0</v>
      </c>
      <c r="J16" s="30">
        <f t="shared" ref="J16" si="7">G16+I16-H16</f>
        <v>360</v>
      </c>
      <c r="K16" s="35"/>
      <c r="L16" s="36"/>
    </row>
    <row r="17" spans="1:12" ht="18.75" thickTop="1" thickBot="1" x14ac:dyDescent="0.35">
      <c r="A17" s="4" t="s">
        <v>11</v>
      </c>
      <c r="B17" s="26">
        <v>0.25</v>
      </c>
      <c r="C17" s="26">
        <v>0.79166666666666663</v>
      </c>
      <c r="D17" s="33" t="s">
        <v>35</v>
      </c>
      <c r="E17" s="10" t="str">
        <f t="shared" si="5"/>
        <v>12:00</v>
      </c>
      <c r="F17" s="11" t="str">
        <f t="shared" si="6"/>
        <v>13:00</v>
      </c>
      <c r="G17" s="27">
        <f>(E17*24)*B2</f>
        <v>360</v>
      </c>
      <c r="H17" s="28">
        <v>0</v>
      </c>
      <c r="I17" s="29">
        <v>0</v>
      </c>
      <c r="J17" s="30">
        <f>G17+I17-H17</f>
        <v>360</v>
      </c>
      <c r="K17" s="35"/>
      <c r="L17" s="36"/>
    </row>
    <row r="18" spans="1:12" ht="18.75" thickTop="1" thickBot="1" x14ac:dyDescent="0.35">
      <c r="A18" s="4" t="s">
        <v>12</v>
      </c>
      <c r="B18" s="26">
        <v>0.25</v>
      </c>
      <c r="C18" s="26">
        <v>0.79166666666666663</v>
      </c>
      <c r="D18" s="33" t="s">
        <v>35</v>
      </c>
      <c r="E18" s="10" t="str">
        <f t="shared" si="5"/>
        <v>12:00</v>
      </c>
      <c r="F18" s="11" t="str">
        <f t="shared" si="6"/>
        <v>13:00</v>
      </c>
      <c r="G18" s="27">
        <f>(E18*24)*B2</f>
        <v>360</v>
      </c>
      <c r="H18" s="28">
        <v>0</v>
      </c>
      <c r="I18" s="29">
        <v>0</v>
      </c>
      <c r="J18" s="30">
        <f t="shared" ref="J18:J21" si="8">G18+I18-H18</f>
        <v>360</v>
      </c>
      <c r="K18" s="35"/>
      <c r="L18" s="36"/>
    </row>
    <row r="19" spans="1:12" ht="18.75" thickTop="1" thickBot="1" x14ac:dyDescent="0.35">
      <c r="A19" s="4" t="s">
        <v>13</v>
      </c>
      <c r="B19" s="26">
        <v>0.25</v>
      </c>
      <c r="C19" s="26">
        <v>0.79166666666666663</v>
      </c>
      <c r="D19" s="33" t="s">
        <v>35</v>
      </c>
      <c r="E19" s="10" t="str">
        <f t="shared" si="5"/>
        <v>12:00</v>
      </c>
      <c r="F19" s="11" t="str">
        <f t="shared" si="6"/>
        <v>13:00</v>
      </c>
      <c r="G19" s="27">
        <f>(E19*24)*B2</f>
        <v>360</v>
      </c>
      <c r="H19" s="28">
        <v>0</v>
      </c>
      <c r="I19" s="29">
        <v>0</v>
      </c>
      <c r="J19" s="30">
        <f t="shared" si="8"/>
        <v>360</v>
      </c>
      <c r="K19" s="35"/>
      <c r="L19" s="36"/>
    </row>
    <row r="20" spans="1:12" ht="18.75" thickTop="1" thickBot="1" x14ac:dyDescent="0.35">
      <c r="A20" s="4" t="s">
        <v>14</v>
      </c>
      <c r="B20" s="26">
        <v>0.25</v>
      </c>
      <c r="C20" s="26">
        <v>0.79166666666666663</v>
      </c>
      <c r="D20" s="33" t="s">
        <v>35</v>
      </c>
      <c r="E20" s="10" t="str">
        <f t="shared" si="5"/>
        <v>12:00</v>
      </c>
      <c r="F20" s="11" t="str">
        <f t="shared" si="6"/>
        <v>13:00</v>
      </c>
      <c r="G20" s="27">
        <f>(E20*24)*B2</f>
        <v>360</v>
      </c>
      <c r="H20" s="28">
        <v>0</v>
      </c>
      <c r="I20" s="29">
        <v>0</v>
      </c>
      <c r="J20" s="30">
        <f t="shared" si="8"/>
        <v>360</v>
      </c>
      <c r="K20" s="35"/>
      <c r="L20" s="36"/>
    </row>
    <row r="21" spans="1:12" ht="18.75" thickTop="1" thickBot="1" x14ac:dyDescent="0.35">
      <c r="A21" s="4" t="s">
        <v>16</v>
      </c>
      <c r="B21" s="26">
        <v>0.25</v>
      </c>
      <c r="C21" s="26">
        <v>0.79166666666666663</v>
      </c>
      <c r="D21" s="33" t="s">
        <v>35</v>
      </c>
      <c r="E21" s="10" t="str">
        <f>IF(C21=B21,"0:00",TEXT(C21-B21-D21, "h:mm"))</f>
        <v>12:00</v>
      </c>
      <c r="F21" s="11" t="str">
        <f t="shared" si="6"/>
        <v>13:00</v>
      </c>
      <c r="G21" s="27">
        <f>(E21*24)*B2</f>
        <v>360</v>
      </c>
      <c r="H21" s="28">
        <v>0</v>
      </c>
      <c r="I21" s="29">
        <v>0</v>
      </c>
      <c r="J21" s="30">
        <f t="shared" si="8"/>
        <v>360</v>
      </c>
      <c r="K21" s="35"/>
      <c r="L21" s="36"/>
    </row>
    <row r="22" spans="1:12" ht="16.5" thickTop="1" thickBot="1" x14ac:dyDescent="0.3">
      <c r="C22" s="1"/>
      <c r="D22" s="8" t="s">
        <v>25</v>
      </c>
      <c r="E22" s="8" t="s">
        <v>6</v>
      </c>
      <c r="F22" s="3" t="s">
        <v>22</v>
      </c>
      <c r="G22" s="9" t="s">
        <v>1</v>
      </c>
      <c r="H22" s="3" t="s">
        <v>20</v>
      </c>
      <c r="I22" s="3" t="s">
        <v>19</v>
      </c>
      <c r="J22" s="3" t="s">
        <v>30</v>
      </c>
    </row>
    <row r="23" spans="1:12" ht="21" thickTop="1" thickBot="1" x14ac:dyDescent="0.35">
      <c r="C23" s="1"/>
      <c r="D23" s="14">
        <f t="shared" ref="D23:F23" si="9">D15+D16+D17+D18+D19+D20+D21</f>
        <v>0.29166666666666663</v>
      </c>
      <c r="E23" s="14">
        <f t="shared" si="9"/>
        <v>3.5</v>
      </c>
      <c r="F23" s="14">
        <f t="shared" si="9"/>
        <v>3.7916666666666661</v>
      </c>
      <c r="G23" s="16">
        <f>G15+G16+G17+G18+G19+G20+G21</f>
        <v>2520</v>
      </c>
      <c r="H23" s="19">
        <f>H15+H16+H17+H18+H19+H20+H21</f>
        <v>0</v>
      </c>
      <c r="I23" s="15">
        <f>I15+I16+I17+I18+I19+I20+I21</f>
        <v>0</v>
      </c>
      <c r="J23" s="15">
        <f>J15+J16+J17+J18+J19+J20+J21</f>
        <v>2520</v>
      </c>
    </row>
    <row r="24" spans="1:12" ht="23.25" thickTop="1" x14ac:dyDescent="0.35">
      <c r="A24" s="39" t="s">
        <v>17</v>
      </c>
      <c r="B24" s="40"/>
      <c r="C24" s="40"/>
      <c r="D24" s="40"/>
      <c r="E24" s="40"/>
      <c r="F24" s="40"/>
      <c r="G24" s="40"/>
      <c r="H24" s="40"/>
      <c r="I24" s="40"/>
      <c r="J24" s="40"/>
    </row>
    <row r="25" spans="1:12" ht="16.5" thickBot="1" x14ac:dyDescent="0.3">
      <c r="A25" s="41" t="s">
        <v>26</v>
      </c>
      <c r="B25" s="41"/>
      <c r="C25" s="41"/>
      <c r="D25" s="41"/>
      <c r="E25" s="41"/>
      <c r="F25" s="41"/>
      <c r="G25" s="41"/>
      <c r="H25" s="41"/>
      <c r="I25" s="41"/>
      <c r="J25" s="41"/>
    </row>
    <row r="26" spans="1:12" ht="16.5" thickTop="1" thickBot="1" x14ac:dyDescent="0.3">
      <c r="D26" s="8" t="s">
        <v>25</v>
      </c>
      <c r="E26" s="8" t="s">
        <v>6</v>
      </c>
      <c r="F26" s="3" t="s">
        <v>22</v>
      </c>
      <c r="G26" s="3" t="s">
        <v>1</v>
      </c>
      <c r="H26" s="3" t="s">
        <v>20</v>
      </c>
      <c r="I26" s="9" t="s">
        <v>19</v>
      </c>
      <c r="J26" s="9" t="s">
        <v>31</v>
      </c>
    </row>
    <row r="27" spans="1:12" ht="22.5" thickTop="1" thickBot="1" x14ac:dyDescent="0.4">
      <c r="D27" s="13">
        <f>D12+D23</f>
        <v>0.58333333333333326</v>
      </c>
      <c r="E27" s="13">
        <f t="shared" ref="E27:J27" si="10">E12+E23</f>
        <v>7</v>
      </c>
      <c r="F27" s="13">
        <f t="shared" si="10"/>
        <v>7.5833333333333321</v>
      </c>
      <c r="G27" s="18">
        <f t="shared" si="10"/>
        <v>5040</v>
      </c>
      <c r="H27" s="21">
        <f>H12+H23</f>
        <v>0</v>
      </c>
      <c r="I27" s="18">
        <f t="shared" si="10"/>
        <v>0</v>
      </c>
      <c r="J27" s="18">
        <f t="shared" si="10"/>
        <v>5040</v>
      </c>
    </row>
    <row r="28" spans="1:12" ht="15.75" thickTop="1" x14ac:dyDescent="0.25"/>
  </sheetData>
  <mergeCells count="4">
    <mergeCell ref="A24:J24"/>
    <mergeCell ref="A25:J25"/>
    <mergeCell ref="A13:J13"/>
    <mergeCell ref="C1:F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</vt:lpstr>
      <vt:lpstr>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espitia</dc:creator>
  <cp:lastModifiedBy>Carlos E Espitia Hernandez</cp:lastModifiedBy>
  <dcterms:created xsi:type="dcterms:W3CDTF">2021-09-05T10:19:15Z</dcterms:created>
  <dcterms:modified xsi:type="dcterms:W3CDTF">2022-01-21T15:51:00Z</dcterms:modified>
</cp:coreProperties>
</file>